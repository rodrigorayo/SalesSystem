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Downloads\"/>
    </mc:Choice>
  </mc:AlternateContent>
  <xr:revisionPtr revIDLastSave="0" documentId="8_{EFB1F6E4-CB78-4FA8-AA16-3DC75224C849}" xr6:coauthVersionLast="47" xr6:coauthVersionMax="47" xr10:uidLastSave="{00000000-0000-0000-0000-000000000000}"/>
  <bookViews>
    <workbookView xWindow="-108" yWindow="-108" windowWidth="23256" windowHeight="12456" xr2:uid="{5ABD8D73-0652-4BCB-A105-3D91342BFC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1" l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<sst xmlns="http://schemas.openxmlformats.org/spreadsheetml/2006/main" count="144" uniqueCount="107">
  <si>
    <t>CODIGO</t>
  </si>
  <si>
    <t>CODIGO CORTO</t>
  </si>
  <si>
    <t>DESCRIPCION</t>
  </si>
  <si>
    <t>COSTO A DISTRIBUIDOR</t>
  </si>
  <si>
    <t>COSTO UNITARIO</t>
  </si>
  <si>
    <t>PRECIO PUBLICO COCHABAMBA</t>
  </si>
  <si>
    <t>PRECIO PUBLICO LA PAZ</t>
  </si>
  <si>
    <t>CATEGORIA</t>
  </si>
  <si>
    <t>INVENTARIO FISICO HEROINAS</t>
  </si>
  <si>
    <t>INVENTARIO FISICO 
RECOLETA</t>
  </si>
  <si>
    <t>INVENTARIO FISICO 
LA PAZ</t>
  </si>
  <si>
    <t>2005</t>
  </si>
  <si>
    <t>GRANEL 1.5 BS</t>
  </si>
  <si>
    <t>a granel</t>
  </si>
  <si>
    <t>2001</t>
  </si>
  <si>
    <t>GRANEL 2.0 BS</t>
  </si>
  <si>
    <t>2002</t>
  </si>
  <si>
    <t>GRANEL 2.5BS</t>
  </si>
  <si>
    <t>2003</t>
  </si>
  <si>
    <t>GRANEL 3.0 BS</t>
  </si>
  <si>
    <t>2004</t>
  </si>
  <si>
    <t>GRANEL 3.5 BS</t>
  </si>
  <si>
    <t>2006</t>
  </si>
  <si>
    <t>GRANEL 4.5 BS</t>
  </si>
  <si>
    <t>7771706002058</t>
  </si>
  <si>
    <t>M278</t>
  </si>
  <si>
    <t>CAJA PALETAS ROSAS 40 gr taboada</t>
  </si>
  <si>
    <t>AMOR</t>
  </si>
  <si>
    <t>7771706000324</t>
  </si>
  <si>
    <t>CHOC. CORAZÓN HINCHADO</t>
  </si>
  <si>
    <t>4006</t>
  </si>
  <si>
    <t>CONO DE CHOC.SURTIDOS 50G</t>
  </si>
  <si>
    <t>7771706000776</t>
  </si>
  <si>
    <t>PALETA CORAZÓN GRANDE</t>
  </si>
  <si>
    <t>763</t>
  </si>
  <si>
    <t>PALETA DOBLE CORAZON COLORES 30 GR</t>
  </si>
  <si>
    <t>761</t>
  </si>
  <si>
    <t>PALETA DOBLE CORAZON PINTADO 30 G</t>
  </si>
  <si>
    <t>4005</t>
  </si>
  <si>
    <t>PALETA FLOR MARGARITA 26G(COLORES VARIADOS)</t>
  </si>
  <si>
    <t>7771706000680</t>
  </si>
  <si>
    <t>TABLETA CON FRASES</t>
  </si>
  <si>
    <t>7771706000681</t>
  </si>
  <si>
    <t>TABLETA DE CHOCOLATE</t>
  </si>
  <si>
    <t>7771706000504</t>
  </si>
  <si>
    <t>BLISTER GOMITAS CON CHOCOLATE</t>
  </si>
  <si>
    <t>BLSTER</t>
  </si>
  <si>
    <t>7771706000528</t>
  </si>
  <si>
    <t>BLISTER GOMITAS CON CHOCOLATE P</t>
  </si>
  <si>
    <t>7771706000740</t>
  </si>
  <si>
    <t>BLISTER MARROX 12 UNID.P</t>
  </si>
  <si>
    <t>7771706000726</t>
  </si>
  <si>
    <t>BLISTER MARROX 24 UNID.</t>
  </si>
  <si>
    <t>7771706000832</t>
  </si>
  <si>
    <t>BLISTER PASTILLAS DE GOMA P</t>
  </si>
  <si>
    <t>7771706000795</t>
  </si>
  <si>
    <t>BLISTER TRUFAS AL RON</t>
  </si>
  <si>
    <t>7771706000757</t>
  </si>
  <si>
    <t>BLISTER TRUFAS AL RON P</t>
  </si>
  <si>
    <t>7771706000900</t>
  </si>
  <si>
    <t>BLSITER PASTILLAS DE GOMA</t>
  </si>
  <si>
    <t>20061</t>
  </si>
  <si>
    <t>BOLSAS DORADAS</t>
  </si>
  <si>
    <t>BOLSAS</t>
  </si>
  <si>
    <t>20071</t>
  </si>
  <si>
    <t>BOLSAS DORADAS grande</t>
  </si>
  <si>
    <t>2012</t>
  </si>
  <si>
    <t>REGALO BS 1</t>
  </si>
  <si>
    <t>BOLSAS H</t>
  </si>
  <si>
    <t>3001</t>
  </si>
  <si>
    <t>REGALO BS 2</t>
  </si>
  <si>
    <t>3002</t>
  </si>
  <si>
    <t>REGALO BS 2.5</t>
  </si>
  <si>
    <t>3003</t>
  </si>
  <si>
    <t>REGALO BS 3</t>
  </si>
  <si>
    <t>7771706000054</t>
  </si>
  <si>
    <t>BOMBONES A LA CREMA (TRADICIONAL) 100 gr taboada</t>
  </si>
  <si>
    <t>BOMBONES</t>
  </si>
  <si>
    <t>7771706000672</t>
  </si>
  <si>
    <t>BOMBONES A LA CREMA (TRADICIONAL) 150 gr taboada</t>
  </si>
  <si>
    <t>7771706000139</t>
  </si>
  <si>
    <t>BOMBONES A LA CREMA (TRADICIONAL) 200 grtaboada</t>
  </si>
  <si>
    <t>7771706000023</t>
  </si>
  <si>
    <t>BOMBONES A LA CREMA (TRADICIONAL) 400 gr taboada</t>
  </si>
  <si>
    <t>7771706000641</t>
  </si>
  <si>
    <t>BOMBONES DE COCO 150 gr  taboada</t>
  </si>
  <si>
    <t>7771706000665</t>
  </si>
  <si>
    <t>BOMBONES DE FRUTAS 150 gr taboada</t>
  </si>
  <si>
    <t>7771706001679</t>
  </si>
  <si>
    <t>BOMBONES DE FRUTAS 400 gr taboada</t>
  </si>
  <si>
    <t>7771706000658</t>
  </si>
  <si>
    <t>BOMBONES DE MENTA 150 gr taboada</t>
  </si>
  <si>
    <t>7771706000993</t>
  </si>
  <si>
    <t>BOMBONES ESPECIALES 150 gr taboada</t>
  </si>
  <si>
    <t>7771706000061</t>
  </si>
  <si>
    <t>BOMBONES ESPECIALES 200 gr taboada</t>
  </si>
  <si>
    <t>7771706000340</t>
  </si>
  <si>
    <t>CHOCOLATES Y BOMBONES A GRANEL</t>
  </si>
  <si>
    <t>55064</t>
  </si>
  <si>
    <t>ANTI-MANCHAS Luz facial Extra Fuerte4</t>
  </si>
  <si>
    <t>CREMAS</t>
  </si>
  <si>
    <t>55034</t>
  </si>
  <si>
    <t>Crema Blanqueadora</t>
  </si>
  <si>
    <t>55001</t>
  </si>
  <si>
    <t>Crema de limpieza 55 gr.</t>
  </si>
  <si>
    <t>55004</t>
  </si>
  <si>
    <t>Crema de Placenta 2 oz.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</si>
</sst>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8"/>
      <color theme="1"/>
      <name val="Arial"/>
    </font>
    <font>
      <sz val="10"/>
      <color theme="1"/>
      <name val="Arial"/>
    </font>
    <font>
      <sz val="9"/>
      <color theme="1"/>
      <name val="Arial"/>
    </font>
    <font>
      <sz val="8"/>
      <color theme="1"/>
      <name val="Arial"/>
    </font>
    <font>
      <sz val="10"/>
      <color theme="1"/>
      <name val="Calibri"/>
    </font>
    <font>
      <sz val="10"/>
      <color rgb="FF1A1A1A"/>
      <name val="Arial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2" borderId="1" xfId="0" applyNumberFormat="1" applyFont="1" applyFill="1" applyBorder="1" applyAlignment="1">
      <alignment horizontal="center" wrapText="1"/>
    </xf>
    <xf numFmtId="2" fontId="1" fillId="2" borderId="1" xfId="0" applyNumberFormat="1" applyFont="1" applyFill="1" applyBorder="1" applyAlignment="1">
      <alignment horizontal="center" wrapText="1"/>
    </xf>
    <xf numFmtId="164" fontId="1" fillId="3" borderId="1" xfId="0" applyNumberFormat="1" applyFont="1" applyFill="1" applyBorder="1" applyAlignment="1">
      <alignment horizontal="center" wrapText="1"/>
    </xf>
    <xf numFmtId="49" fontId="2" fillId="4" borderId="1" xfId="0" applyNumberFormat="1" applyFont="1" applyFill="1" applyBorder="1" applyAlignment="1">
      <alignment horizontal="right"/>
    </xf>
    <xf numFmtId="0" fontId="3" fillId="4" borderId="1" xfId="0" applyFont="1" applyFill="1" applyBorder="1"/>
    <xf numFmtId="164" fontId="4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/>
    <xf numFmtId="49" fontId="3" fillId="4" borderId="1" xfId="0" applyNumberFormat="1" applyFont="1" applyFill="1" applyBorder="1"/>
    <xf numFmtId="0" fontId="2" fillId="4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right"/>
    </xf>
    <xf numFmtId="49" fontId="6" fillId="4" borderId="1" xfId="0" applyNumberFormat="1" applyFont="1" applyFill="1" applyBorder="1" applyAlignment="1">
      <alignment horizontal="right"/>
    </xf>
    <xf numFmtId="2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0" fontId="3" fillId="4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0F68-6957-4EB4-BED0-260126B66128}">
  <dimension ref="A1:K45"/>
  <sheetViews>
    <sheetView tabSelected="1" workbookViewId="0">
      <selection activeCell="M7" sqref="M7"/>
    </sheetView>
  </sheetViews>
  <sheetFormatPr defaultRowHeight="14.4" x14ac:dyDescent="0.3"/>
  <sheetData>
    <row r="1" spans="1:11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4" t="s">
        <v>11</v>
      </c>
      <c r="B2" s="4">
        <v>2005</v>
      </c>
      <c r="C2" s="5" t="s">
        <v>12</v>
      </c>
      <c r="D2" s="6">
        <f t="shared" ref="D2:D45" si="0">E2*0.85</f>
        <v>1.2749999999999999</v>
      </c>
      <c r="E2" s="6">
        <v>1.5</v>
      </c>
      <c r="F2" s="7">
        <v>2</v>
      </c>
      <c r="G2" s="8">
        <v>2</v>
      </c>
      <c r="H2" s="7" t="s">
        <v>13</v>
      </c>
      <c r="I2" s="6">
        <v>0</v>
      </c>
      <c r="J2" s="9"/>
      <c r="K2" s="9"/>
    </row>
    <row r="3" spans="1:11" x14ac:dyDescent="0.3">
      <c r="A3" s="4" t="s">
        <v>14</v>
      </c>
      <c r="B3" s="4">
        <v>2001</v>
      </c>
      <c r="C3" s="5" t="s">
        <v>15</v>
      </c>
      <c r="D3" s="6">
        <f t="shared" si="0"/>
        <v>1.7</v>
      </c>
      <c r="E3" s="6">
        <v>2</v>
      </c>
      <c r="F3" s="7">
        <v>2.5</v>
      </c>
      <c r="G3" s="8">
        <v>2.5</v>
      </c>
      <c r="H3" s="7" t="s">
        <v>13</v>
      </c>
      <c r="I3" s="6">
        <v>0</v>
      </c>
      <c r="J3" s="9"/>
      <c r="K3" s="9"/>
    </row>
    <row r="4" spans="1:11" x14ac:dyDescent="0.3">
      <c r="A4" s="4" t="s">
        <v>16</v>
      </c>
      <c r="B4" s="4">
        <v>2002</v>
      </c>
      <c r="C4" s="10" t="s">
        <v>17</v>
      </c>
      <c r="D4" s="6">
        <f t="shared" si="0"/>
        <v>2.125</v>
      </c>
      <c r="E4" s="6">
        <v>2.5</v>
      </c>
      <c r="F4" s="7">
        <v>3</v>
      </c>
      <c r="G4" s="8">
        <v>3</v>
      </c>
      <c r="H4" s="7" t="s">
        <v>13</v>
      </c>
      <c r="I4" s="6">
        <v>943</v>
      </c>
      <c r="J4" s="9"/>
      <c r="K4" s="9"/>
    </row>
    <row r="5" spans="1:11" x14ac:dyDescent="0.3">
      <c r="A5" s="4" t="s">
        <v>18</v>
      </c>
      <c r="B5" s="4">
        <v>2003</v>
      </c>
      <c r="C5" s="5" t="s">
        <v>19</v>
      </c>
      <c r="D5" s="6">
        <f t="shared" si="0"/>
        <v>2.5499999999999998</v>
      </c>
      <c r="E5" s="6">
        <v>3</v>
      </c>
      <c r="F5" s="7">
        <v>3.5</v>
      </c>
      <c r="G5" s="8">
        <v>3.5</v>
      </c>
      <c r="H5" s="7" t="s">
        <v>13</v>
      </c>
      <c r="I5" s="6">
        <v>0</v>
      </c>
      <c r="J5" s="9"/>
      <c r="K5" s="9"/>
    </row>
    <row r="6" spans="1:11" x14ac:dyDescent="0.3">
      <c r="A6" s="4" t="s">
        <v>20</v>
      </c>
      <c r="B6" s="4">
        <v>2004</v>
      </c>
      <c r="C6" s="5" t="s">
        <v>21</v>
      </c>
      <c r="D6" s="6">
        <f t="shared" si="0"/>
        <v>2.9750000000000001</v>
      </c>
      <c r="E6" s="6">
        <v>3.5</v>
      </c>
      <c r="F6" s="7">
        <v>4</v>
      </c>
      <c r="G6" s="8">
        <v>4</v>
      </c>
      <c r="H6" s="7" t="s">
        <v>13</v>
      </c>
      <c r="I6" s="6">
        <v>231</v>
      </c>
      <c r="J6" s="9"/>
      <c r="K6" s="9"/>
    </row>
    <row r="7" spans="1:11" x14ac:dyDescent="0.3">
      <c r="A7" s="4" t="s">
        <v>22</v>
      </c>
      <c r="B7" s="4">
        <v>2006</v>
      </c>
      <c r="C7" s="5" t="s">
        <v>23</v>
      </c>
      <c r="D7" s="6">
        <f t="shared" si="0"/>
        <v>3.8249999999999997</v>
      </c>
      <c r="E7" s="6">
        <v>4.5</v>
      </c>
      <c r="F7" s="7">
        <v>5</v>
      </c>
      <c r="G7" s="8">
        <v>5</v>
      </c>
      <c r="H7" s="7" t="s">
        <v>13</v>
      </c>
      <c r="I7" s="6">
        <v>145</v>
      </c>
      <c r="J7" s="9"/>
      <c r="K7" s="9"/>
    </row>
    <row r="8" spans="1:11" x14ac:dyDescent="0.3">
      <c r="A8" s="4" t="s">
        <v>24</v>
      </c>
      <c r="B8" s="11" t="s">
        <v>25</v>
      </c>
      <c r="C8" s="5" t="s">
        <v>26</v>
      </c>
      <c r="D8" s="6">
        <f t="shared" si="0"/>
        <v>20.399999999999999</v>
      </c>
      <c r="E8" s="12">
        <v>24</v>
      </c>
      <c r="F8" s="7">
        <v>27</v>
      </c>
      <c r="G8" s="8">
        <v>30</v>
      </c>
      <c r="H8" s="7" t="s">
        <v>27</v>
      </c>
      <c r="I8" s="13">
        <v>26</v>
      </c>
      <c r="J8" s="13">
        <v>30</v>
      </c>
      <c r="K8" s="13">
        <v>30</v>
      </c>
    </row>
    <row r="9" spans="1:11" x14ac:dyDescent="0.3">
      <c r="A9" s="4" t="s">
        <v>28</v>
      </c>
      <c r="B9" s="11">
        <v>324</v>
      </c>
      <c r="C9" s="5" t="s">
        <v>29</v>
      </c>
      <c r="D9" s="6">
        <f t="shared" si="0"/>
        <v>5.95</v>
      </c>
      <c r="E9" s="12">
        <v>7</v>
      </c>
      <c r="F9" s="7">
        <v>8.5</v>
      </c>
      <c r="G9" s="8">
        <v>9</v>
      </c>
      <c r="H9" s="7" t="s">
        <v>27</v>
      </c>
      <c r="I9" s="6">
        <v>83</v>
      </c>
      <c r="J9" s="6">
        <v>20</v>
      </c>
      <c r="K9" s="6">
        <v>20</v>
      </c>
    </row>
    <row r="10" spans="1:11" x14ac:dyDescent="0.3">
      <c r="A10" s="4" t="s">
        <v>30</v>
      </c>
      <c r="B10" s="4">
        <v>4006</v>
      </c>
      <c r="C10" s="5" t="s">
        <v>31</v>
      </c>
      <c r="D10" s="6">
        <f t="shared" si="0"/>
        <v>34</v>
      </c>
      <c r="E10" s="12">
        <v>40</v>
      </c>
      <c r="F10" s="13">
        <v>50</v>
      </c>
      <c r="G10" s="8">
        <v>50</v>
      </c>
      <c r="H10" s="7" t="s">
        <v>27</v>
      </c>
      <c r="I10" s="6">
        <v>0</v>
      </c>
      <c r="J10" s="6">
        <v>0</v>
      </c>
      <c r="K10" s="6">
        <v>0</v>
      </c>
    </row>
    <row r="11" spans="1:11" x14ac:dyDescent="0.3">
      <c r="A11" s="4" t="s">
        <v>32</v>
      </c>
      <c r="B11" s="11">
        <v>776</v>
      </c>
      <c r="C11" s="5" t="s">
        <v>33</v>
      </c>
      <c r="D11" s="6">
        <f t="shared" si="0"/>
        <v>10.199999999999999</v>
      </c>
      <c r="E11" s="12">
        <v>12</v>
      </c>
      <c r="F11" s="7">
        <v>14</v>
      </c>
      <c r="G11" s="8">
        <v>15</v>
      </c>
      <c r="H11" s="7" t="s">
        <v>27</v>
      </c>
      <c r="I11" s="6">
        <v>23</v>
      </c>
      <c r="J11" s="6">
        <v>20</v>
      </c>
      <c r="K11" s="6">
        <v>20</v>
      </c>
    </row>
    <row r="12" spans="1:11" x14ac:dyDescent="0.3">
      <c r="A12" s="4" t="s">
        <v>34</v>
      </c>
      <c r="B12" s="11">
        <v>763</v>
      </c>
      <c r="C12" s="10" t="s">
        <v>35</v>
      </c>
      <c r="D12" s="6">
        <f t="shared" si="0"/>
        <v>8.5</v>
      </c>
      <c r="E12" s="12">
        <v>10</v>
      </c>
      <c r="F12" s="7">
        <v>12</v>
      </c>
      <c r="G12" s="8">
        <v>12.5</v>
      </c>
      <c r="H12" s="7" t="s">
        <v>27</v>
      </c>
      <c r="I12" s="12">
        <v>27</v>
      </c>
      <c r="J12" s="12">
        <v>10</v>
      </c>
      <c r="K12" s="12">
        <v>10</v>
      </c>
    </row>
    <row r="13" spans="1:11" x14ac:dyDescent="0.3">
      <c r="A13" s="4" t="s">
        <v>36</v>
      </c>
      <c r="B13" s="11">
        <v>761</v>
      </c>
      <c r="C13" s="10" t="s">
        <v>37</v>
      </c>
      <c r="D13" s="6">
        <f t="shared" si="0"/>
        <v>8.5</v>
      </c>
      <c r="E13" s="12">
        <v>10</v>
      </c>
      <c r="F13" s="7">
        <v>12</v>
      </c>
      <c r="G13" s="8">
        <v>12.5</v>
      </c>
      <c r="H13" s="7" t="s">
        <v>27</v>
      </c>
      <c r="I13" s="12">
        <v>47</v>
      </c>
      <c r="J13" s="12">
        <v>10</v>
      </c>
      <c r="K13" s="12">
        <v>10</v>
      </c>
    </row>
    <row r="14" spans="1:11" x14ac:dyDescent="0.3">
      <c r="A14" s="14" t="s">
        <v>38</v>
      </c>
      <c r="B14" s="14">
        <v>4005</v>
      </c>
      <c r="C14" s="5" t="s">
        <v>39</v>
      </c>
      <c r="D14" s="6">
        <f t="shared" si="0"/>
        <v>7.6499999999999995</v>
      </c>
      <c r="E14" s="12">
        <v>9</v>
      </c>
      <c r="F14" s="7">
        <v>11</v>
      </c>
      <c r="G14" s="8">
        <v>11</v>
      </c>
      <c r="H14" s="7" t="s">
        <v>27</v>
      </c>
      <c r="I14" s="12">
        <v>23</v>
      </c>
      <c r="J14" s="12">
        <v>10</v>
      </c>
      <c r="K14" s="12">
        <v>10</v>
      </c>
    </row>
    <row r="15" spans="1:11" x14ac:dyDescent="0.3">
      <c r="A15" s="4" t="s">
        <v>40</v>
      </c>
      <c r="B15" s="11">
        <v>680</v>
      </c>
      <c r="C15" s="5" t="s">
        <v>41</v>
      </c>
      <c r="D15" s="6">
        <f t="shared" si="0"/>
        <v>7.6499999999999995</v>
      </c>
      <c r="E15" s="12">
        <v>9</v>
      </c>
      <c r="F15" s="7">
        <v>11</v>
      </c>
      <c r="G15" s="8">
        <v>11</v>
      </c>
      <c r="H15" s="7" t="s">
        <v>27</v>
      </c>
      <c r="I15" s="6">
        <v>17</v>
      </c>
      <c r="J15" s="6">
        <v>15</v>
      </c>
      <c r="K15" s="6">
        <v>15</v>
      </c>
    </row>
    <row r="16" spans="1:11" x14ac:dyDescent="0.3">
      <c r="A16" s="4" t="s">
        <v>42</v>
      </c>
      <c r="B16" s="11">
        <v>681</v>
      </c>
      <c r="C16" s="5" t="s">
        <v>43</v>
      </c>
      <c r="D16" s="6">
        <f t="shared" si="0"/>
        <v>7.6499999999999995</v>
      </c>
      <c r="E16" s="12">
        <v>9</v>
      </c>
      <c r="F16" s="7">
        <v>11</v>
      </c>
      <c r="G16" s="8">
        <v>11</v>
      </c>
      <c r="H16" s="7" t="s">
        <v>27</v>
      </c>
      <c r="I16" s="6">
        <v>20</v>
      </c>
      <c r="J16" s="6">
        <v>15</v>
      </c>
      <c r="K16" s="6">
        <v>15</v>
      </c>
    </row>
    <row r="17" spans="1:11" x14ac:dyDescent="0.3">
      <c r="A17" s="4" t="s">
        <v>44</v>
      </c>
      <c r="B17" s="11">
        <v>129</v>
      </c>
      <c r="C17" s="5" t="s">
        <v>45</v>
      </c>
      <c r="D17" s="6">
        <f t="shared" si="0"/>
        <v>48.449999999999996</v>
      </c>
      <c r="E17" s="12">
        <v>57</v>
      </c>
      <c r="F17" s="7">
        <v>59</v>
      </c>
      <c r="G17" s="8">
        <v>71.5</v>
      </c>
      <c r="H17" s="7" t="s">
        <v>46</v>
      </c>
      <c r="I17" s="6">
        <v>11</v>
      </c>
      <c r="J17" s="6">
        <v>5</v>
      </c>
      <c r="K17" s="6">
        <v>5</v>
      </c>
    </row>
    <row r="18" spans="1:11" x14ac:dyDescent="0.3">
      <c r="A18" s="4" t="s">
        <v>47</v>
      </c>
      <c r="B18" s="11">
        <v>130</v>
      </c>
      <c r="C18" s="5" t="s">
        <v>48</v>
      </c>
      <c r="D18" s="6">
        <f t="shared" si="0"/>
        <v>28.9</v>
      </c>
      <c r="E18" s="12">
        <v>34</v>
      </c>
      <c r="F18" s="7">
        <v>39</v>
      </c>
      <c r="G18" s="8">
        <v>42.5</v>
      </c>
      <c r="H18" s="7" t="s">
        <v>46</v>
      </c>
      <c r="I18" s="6">
        <v>1</v>
      </c>
      <c r="J18" s="6">
        <v>5</v>
      </c>
      <c r="K18" s="6">
        <v>5</v>
      </c>
    </row>
    <row r="19" spans="1:11" x14ac:dyDescent="0.3">
      <c r="A19" s="4" t="s">
        <v>49</v>
      </c>
      <c r="B19" s="11">
        <v>138</v>
      </c>
      <c r="C19" s="5" t="s">
        <v>50</v>
      </c>
      <c r="D19" s="6">
        <f t="shared" si="0"/>
        <v>25.5</v>
      </c>
      <c r="E19" s="12">
        <v>30</v>
      </c>
      <c r="F19" s="7">
        <v>34</v>
      </c>
      <c r="G19" s="8">
        <v>37.5</v>
      </c>
      <c r="H19" s="7" t="s">
        <v>46</v>
      </c>
      <c r="I19" s="6">
        <v>0</v>
      </c>
      <c r="J19" s="6">
        <v>2</v>
      </c>
      <c r="K19" s="6">
        <v>2</v>
      </c>
    </row>
    <row r="20" spans="1:11" x14ac:dyDescent="0.3">
      <c r="A20" s="4" t="s">
        <v>51</v>
      </c>
      <c r="B20" s="11">
        <v>137</v>
      </c>
      <c r="C20" s="5" t="s">
        <v>52</v>
      </c>
      <c r="D20" s="6">
        <f t="shared" si="0"/>
        <v>47.6</v>
      </c>
      <c r="E20" s="12">
        <v>56</v>
      </c>
      <c r="F20" s="7">
        <v>59</v>
      </c>
      <c r="G20" s="8">
        <v>70</v>
      </c>
      <c r="H20" s="7" t="s">
        <v>46</v>
      </c>
      <c r="I20" s="6">
        <v>0</v>
      </c>
      <c r="J20" s="6">
        <v>2</v>
      </c>
      <c r="K20" s="6">
        <v>2</v>
      </c>
    </row>
    <row r="21" spans="1:11" x14ac:dyDescent="0.3">
      <c r="A21" s="4" t="s">
        <v>53</v>
      </c>
      <c r="B21" s="11">
        <v>136</v>
      </c>
      <c r="C21" s="5" t="s">
        <v>54</v>
      </c>
      <c r="D21" s="6">
        <f t="shared" si="0"/>
        <v>12.75</v>
      </c>
      <c r="E21" s="12">
        <v>15</v>
      </c>
      <c r="F21" s="7">
        <v>16.5</v>
      </c>
      <c r="G21" s="8">
        <v>19</v>
      </c>
      <c r="H21" s="7" t="s">
        <v>46</v>
      </c>
      <c r="I21" s="6">
        <v>5</v>
      </c>
      <c r="J21" s="6">
        <v>5</v>
      </c>
      <c r="K21" s="6">
        <v>5</v>
      </c>
    </row>
    <row r="22" spans="1:11" x14ac:dyDescent="0.3">
      <c r="A22" s="4" t="s">
        <v>55</v>
      </c>
      <c r="B22" s="11">
        <v>133</v>
      </c>
      <c r="C22" s="5" t="s">
        <v>56</v>
      </c>
      <c r="D22" s="6">
        <f t="shared" si="0"/>
        <v>37.4</v>
      </c>
      <c r="E22" s="12">
        <v>44</v>
      </c>
      <c r="F22" s="7">
        <v>49</v>
      </c>
      <c r="G22" s="8">
        <v>55</v>
      </c>
      <c r="H22" s="7" t="s">
        <v>46</v>
      </c>
      <c r="I22" s="6">
        <v>7</v>
      </c>
      <c r="J22" s="6">
        <v>5</v>
      </c>
      <c r="K22" s="6">
        <v>5</v>
      </c>
    </row>
    <row r="23" spans="1:11" x14ac:dyDescent="0.3">
      <c r="A23" s="4" t="s">
        <v>57</v>
      </c>
      <c r="B23" s="11">
        <v>134</v>
      </c>
      <c r="C23" s="5" t="s">
        <v>58</v>
      </c>
      <c r="D23" s="6">
        <f t="shared" si="0"/>
        <v>20.399999999999999</v>
      </c>
      <c r="E23" s="12">
        <v>24</v>
      </c>
      <c r="F23" s="7">
        <v>30</v>
      </c>
      <c r="G23" s="8">
        <v>30</v>
      </c>
      <c r="H23" s="7" t="s">
        <v>46</v>
      </c>
      <c r="I23" s="6">
        <v>6</v>
      </c>
      <c r="J23" s="6">
        <v>5</v>
      </c>
      <c r="K23" s="6">
        <v>5</v>
      </c>
    </row>
    <row r="24" spans="1:11" x14ac:dyDescent="0.3">
      <c r="A24" s="4" t="s">
        <v>59</v>
      </c>
      <c r="B24" s="11">
        <v>135</v>
      </c>
      <c r="C24" s="5" t="s">
        <v>60</v>
      </c>
      <c r="D24" s="6">
        <f t="shared" si="0"/>
        <v>25.5</v>
      </c>
      <c r="E24" s="12">
        <v>30</v>
      </c>
      <c r="F24" s="7">
        <v>33</v>
      </c>
      <c r="G24" s="8">
        <v>37.5</v>
      </c>
      <c r="H24" s="7" t="s">
        <v>46</v>
      </c>
      <c r="I24" s="6">
        <v>5</v>
      </c>
      <c r="J24" s="6">
        <v>5</v>
      </c>
      <c r="K24" s="6">
        <v>5</v>
      </c>
    </row>
    <row r="25" spans="1:11" x14ac:dyDescent="0.3">
      <c r="A25" s="4" t="s">
        <v>61</v>
      </c>
      <c r="B25" s="4">
        <v>20061</v>
      </c>
      <c r="C25" s="5" t="s">
        <v>62</v>
      </c>
      <c r="D25" s="6">
        <f t="shared" si="0"/>
        <v>5.0999999999999996</v>
      </c>
      <c r="E25" s="12">
        <v>6</v>
      </c>
      <c r="F25" s="7">
        <v>8</v>
      </c>
      <c r="G25" s="8">
        <v>8</v>
      </c>
      <c r="H25" s="7" t="s">
        <v>63</v>
      </c>
      <c r="I25" s="6">
        <v>5</v>
      </c>
      <c r="J25" s="6">
        <v>50</v>
      </c>
      <c r="K25" s="6">
        <v>50</v>
      </c>
    </row>
    <row r="26" spans="1:11" x14ac:dyDescent="0.3">
      <c r="A26" s="4" t="s">
        <v>64</v>
      </c>
      <c r="B26" s="4">
        <v>20071</v>
      </c>
      <c r="C26" s="5" t="s">
        <v>65</v>
      </c>
      <c r="D26" s="6">
        <f t="shared" si="0"/>
        <v>5.95</v>
      </c>
      <c r="E26" s="12">
        <v>7</v>
      </c>
      <c r="F26" s="7">
        <v>12</v>
      </c>
      <c r="G26" s="8">
        <v>12</v>
      </c>
      <c r="H26" s="7" t="s">
        <v>63</v>
      </c>
      <c r="I26" s="6">
        <v>171</v>
      </c>
      <c r="J26" s="6">
        <v>50</v>
      </c>
      <c r="K26" s="6">
        <v>50</v>
      </c>
    </row>
    <row r="27" spans="1:11" x14ac:dyDescent="0.3">
      <c r="A27" s="15" t="s">
        <v>66</v>
      </c>
      <c r="B27" s="15">
        <v>2012</v>
      </c>
      <c r="C27" s="5" t="s">
        <v>67</v>
      </c>
      <c r="D27" s="6">
        <f t="shared" si="0"/>
        <v>0.42499999999999999</v>
      </c>
      <c r="E27" s="6">
        <v>0.5</v>
      </c>
      <c r="F27" s="13">
        <v>1</v>
      </c>
      <c r="G27" s="8">
        <v>1</v>
      </c>
      <c r="H27" s="7" t="s">
        <v>68</v>
      </c>
      <c r="I27" s="6">
        <v>0</v>
      </c>
      <c r="J27" s="9"/>
      <c r="K27" s="9"/>
    </row>
    <row r="28" spans="1:11" x14ac:dyDescent="0.3">
      <c r="A28" s="15" t="s">
        <v>69</v>
      </c>
      <c r="B28" s="15">
        <v>3001</v>
      </c>
      <c r="C28" s="5" t="s">
        <v>70</v>
      </c>
      <c r="D28" s="6">
        <f t="shared" si="0"/>
        <v>0.85</v>
      </c>
      <c r="E28" s="6">
        <v>1</v>
      </c>
      <c r="F28" s="13">
        <v>2</v>
      </c>
      <c r="G28" s="16">
        <v>2</v>
      </c>
      <c r="H28" s="7" t="s">
        <v>68</v>
      </c>
      <c r="I28" s="6">
        <v>0</v>
      </c>
      <c r="J28" s="9"/>
      <c r="K28" s="9"/>
    </row>
    <row r="29" spans="1:11" x14ac:dyDescent="0.3">
      <c r="A29" s="4" t="s">
        <v>71</v>
      </c>
      <c r="B29" s="4">
        <v>3002</v>
      </c>
      <c r="C29" s="5" t="s">
        <v>72</v>
      </c>
      <c r="D29" s="6">
        <f t="shared" si="0"/>
        <v>1.0625</v>
      </c>
      <c r="E29" s="12">
        <v>1.25</v>
      </c>
      <c r="F29" s="7">
        <v>2.5</v>
      </c>
      <c r="G29" s="16">
        <v>2.5</v>
      </c>
      <c r="H29" s="7" t="s">
        <v>68</v>
      </c>
      <c r="I29" s="12">
        <v>0</v>
      </c>
      <c r="J29" s="17"/>
      <c r="K29" s="17"/>
    </row>
    <row r="30" spans="1:11" x14ac:dyDescent="0.3">
      <c r="A30" s="4" t="s">
        <v>73</v>
      </c>
      <c r="B30" s="4">
        <v>3003</v>
      </c>
      <c r="C30" s="5" t="s">
        <v>74</v>
      </c>
      <c r="D30" s="6">
        <f t="shared" si="0"/>
        <v>1.2749999999999999</v>
      </c>
      <c r="E30" s="12">
        <v>1.5</v>
      </c>
      <c r="F30" s="7">
        <v>3</v>
      </c>
      <c r="G30" s="8">
        <v>4</v>
      </c>
      <c r="H30" s="7" t="s">
        <v>68</v>
      </c>
      <c r="I30" s="12">
        <v>0</v>
      </c>
      <c r="J30" s="17"/>
      <c r="K30" s="17"/>
    </row>
    <row r="31" spans="1:11" x14ac:dyDescent="0.3">
      <c r="A31" s="4" t="s">
        <v>75</v>
      </c>
      <c r="B31" s="11">
        <v>144</v>
      </c>
      <c r="C31" s="5" t="s">
        <v>76</v>
      </c>
      <c r="D31" s="6">
        <f t="shared" si="0"/>
        <v>15.299999999999999</v>
      </c>
      <c r="E31" s="12">
        <v>18</v>
      </c>
      <c r="F31" s="7">
        <v>21</v>
      </c>
      <c r="G31" s="8">
        <v>22.5</v>
      </c>
      <c r="H31" s="7" t="s">
        <v>77</v>
      </c>
      <c r="I31" s="6">
        <v>20</v>
      </c>
      <c r="J31" s="6">
        <v>20</v>
      </c>
      <c r="K31" s="6">
        <v>20</v>
      </c>
    </row>
    <row r="32" spans="1:11" x14ac:dyDescent="0.3">
      <c r="A32" s="4" t="s">
        <v>78</v>
      </c>
      <c r="B32" s="11">
        <v>145</v>
      </c>
      <c r="C32" s="5" t="s">
        <v>79</v>
      </c>
      <c r="D32" s="6">
        <f t="shared" si="0"/>
        <v>22.95</v>
      </c>
      <c r="E32" s="12">
        <v>27</v>
      </c>
      <c r="F32" s="7">
        <v>31</v>
      </c>
      <c r="G32" s="8">
        <v>33.5</v>
      </c>
      <c r="H32" s="7" t="s">
        <v>77</v>
      </c>
      <c r="I32" s="6">
        <v>0</v>
      </c>
      <c r="J32" s="6">
        <v>15</v>
      </c>
      <c r="K32" s="6">
        <v>15</v>
      </c>
    </row>
    <row r="33" spans="1:11" x14ac:dyDescent="0.3">
      <c r="A33" s="4" t="s">
        <v>80</v>
      </c>
      <c r="B33" s="11">
        <v>143</v>
      </c>
      <c r="C33" s="5" t="s">
        <v>81</v>
      </c>
      <c r="D33" s="6">
        <f t="shared" si="0"/>
        <v>29.75</v>
      </c>
      <c r="E33" s="12">
        <v>35</v>
      </c>
      <c r="F33" s="7">
        <v>39.5</v>
      </c>
      <c r="G33" s="8">
        <v>43.5</v>
      </c>
      <c r="H33" s="7" t="s">
        <v>77</v>
      </c>
      <c r="I33" s="6">
        <v>28</v>
      </c>
      <c r="J33" s="6">
        <v>20</v>
      </c>
      <c r="K33" s="6">
        <v>20</v>
      </c>
    </row>
    <row r="34" spans="1:11" x14ac:dyDescent="0.3">
      <c r="A34" s="4" t="s">
        <v>82</v>
      </c>
      <c r="B34" s="11">
        <v>142</v>
      </c>
      <c r="C34" s="5" t="s">
        <v>83</v>
      </c>
      <c r="D34" s="6">
        <f t="shared" si="0"/>
        <v>57.8</v>
      </c>
      <c r="E34" s="12">
        <v>68</v>
      </c>
      <c r="F34" s="7">
        <v>78</v>
      </c>
      <c r="G34" s="8">
        <v>85</v>
      </c>
      <c r="H34" s="7" t="s">
        <v>77</v>
      </c>
      <c r="I34" s="6">
        <v>15</v>
      </c>
      <c r="J34" s="6">
        <v>10</v>
      </c>
      <c r="K34" s="6">
        <v>10</v>
      </c>
    </row>
    <row r="35" spans="1:11" x14ac:dyDescent="0.3">
      <c r="A35" s="4" t="s">
        <v>84</v>
      </c>
      <c r="B35" s="11">
        <v>221</v>
      </c>
      <c r="C35" s="5" t="s">
        <v>85</v>
      </c>
      <c r="D35" s="6">
        <f t="shared" si="0"/>
        <v>26.349999999999998</v>
      </c>
      <c r="E35" s="12">
        <v>31</v>
      </c>
      <c r="F35" s="7">
        <v>36</v>
      </c>
      <c r="G35" s="8">
        <v>39</v>
      </c>
      <c r="H35" s="7" t="s">
        <v>77</v>
      </c>
      <c r="I35" s="6">
        <v>23</v>
      </c>
      <c r="J35" s="6">
        <v>15</v>
      </c>
      <c r="K35" s="6">
        <v>15</v>
      </c>
    </row>
    <row r="36" spans="1:11" x14ac:dyDescent="0.3">
      <c r="A36" s="4" t="s">
        <v>86</v>
      </c>
      <c r="B36" s="11">
        <v>201</v>
      </c>
      <c r="C36" s="5" t="s">
        <v>87</v>
      </c>
      <c r="D36" s="6">
        <f t="shared" si="0"/>
        <v>24.65</v>
      </c>
      <c r="E36" s="12">
        <v>29</v>
      </c>
      <c r="F36" s="7">
        <v>34</v>
      </c>
      <c r="G36" s="8">
        <v>36</v>
      </c>
      <c r="H36" s="7" t="s">
        <v>77</v>
      </c>
      <c r="I36" s="6">
        <v>16</v>
      </c>
      <c r="J36" s="6">
        <v>15</v>
      </c>
      <c r="K36" s="6">
        <v>15</v>
      </c>
    </row>
    <row r="37" spans="1:11" x14ac:dyDescent="0.3">
      <c r="A37" s="4" t="s">
        <v>88</v>
      </c>
      <c r="B37" s="11">
        <v>200</v>
      </c>
      <c r="C37" s="5" t="s">
        <v>89</v>
      </c>
      <c r="D37" s="6">
        <f t="shared" si="0"/>
        <v>57.8</v>
      </c>
      <c r="E37" s="12">
        <v>68</v>
      </c>
      <c r="F37" s="7">
        <v>71.5</v>
      </c>
      <c r="G37" s="8">
        <v>85</v>
      </c>
      <c r="H37" s="7" t="s">
        <v>77</v>
      </c>
      <c r="I37" s="6">
        <v>0</v>
      </c>
      <c r="J37" s="6">
        <v>10</v>
      </c>
      <c r="K37" s="6">
        <v>10</v>
      </c>
    </row>
    <row r="38" spans="1:11" x14ac:dyDescent="0.3">
      <c r="A38" s="4" t="s">
        <v>90</v>
      </c>
      <c r="B38" s="11">
        <v>160</v>
      </c>
      <c r="C38" s="5" t="s">
        <v>91</v>
      </c>
      <c r="D38" s="6">
        <f t="shared" si="0"/>
        <v>23.8</v>
      </c>
      <c r="E38" s="12">
        <v>28</v>
      </c>
      <c r="F38" s="7">
        <v>32.5</v>
      </c>
      <c r="G38" s="8">
        <v>35</v>
      </c>
      <c r="H38" s="7" t="s">
        <v>77</v>
      </c>
      <c r="I38" s="6">
        <v>15</v>
      </c>
      <c r="J38" s="6">
        <v>15</v>
      </c>
      <c r="K38" s="6">
        <v>15</v>
      </c>
    </row>
    <row r="39" spans="1:11" x14ac:dyDescent="0.3">
      <c r="A39" s="4" t="s">
        <v>92</v>
      </c>
      <c r="B39" s="11">
        <v>184</v>
      </c>
      <c r="C39" s="5" t="s">
        <v>93</v>
      </c>
      <c r="D39" s="6">
        <f t="shared" si="0"/>
        <v>25.5</v>
      </c>
      <c r="E39" s="12">
        <v>30</v>
      </c>
      <c r="F39" s="7">
        <v>35.5</v>
      </c>
      <c r="G39" s="8">
        <v>37.5</v>
      </c>
      <c r="H39" s="7" t="s">
        <v>77</v>
      </c>
      <c r="I39" s="6">
        <v>15</v>
      </c>
      <c r="J39" s="6">
        <v>15</v>
      </c>
      <c r="K39" s="6">
        <v>15</v>
      </c>
    </row>
    <row r="40" spans="1:11" x14ac:dyDescent="0.3">
      <c r="A40" s="4" t="s">
        <v>94</v>
      </c>
      <c r="B40" s="11">
        <v>183</v>
      </c>
      <c r="C40" s="5" t="s">
        <v>95</v>
      </c>
      <c r="D40" s="6">
        <f t="shared" si="0"/>
        <v>31.45</v>
      </c>
      <c r="E40" s="12">
        <v>37</v>
      </c>
      <c r="F40" s="7">
        <v>43.5</v>
      </c>
      <c r="G40" s="8">
        <v>46</v>
      </c>
      <c r="H40" s="7" t="s">
        <v>77</v>
      </c>
      <c r="I40" s="6">
        <v>30</v>
      </c>
      <c r="J40" s="6">
        <v>10</v>
      </c>
      <c r="K40" s="6">
        <v>10</v>
      </c>
    </row>
    <row r="41" spans="1:11" x14ac:dyDescent="0.3">
      <c r="A41" s="4" t="s">
        <v>96</v>
      </c>
      <c r="B41" s="11">
        <v>340</v>
      </c>
      <c r="C41" s="5" t="s">
        <v>97</v>
      </c>
      <c r="D41" s="6">
        <f t="shared" si="0"/>
        <v>187</v>
      </c>
      <c r="E41" s="12">
        <v>220</v>
      </c>
      <c r="F41" s="7">
        <v>250</v>
      </c>
      <c r="G41" s="8">
        <v>275</v>
      </c>
      <c r="H41" s="7" t="s">
        <v>77</v>
      </c>
      <c r="I41" s="6">
        <v>0</v>
      </c>
      <c r="J41" s="6">
        <v>4</v>
      </c>
      <c r="K41" s="6">
        <v>4</v>
      </c>
    </row>
    <row r="42" spans="1:11" x14ac:dyDescent="0.3">
      <c r="A42" s="4" t="s">
        <v>98</v>
      </c>
      <c r="B42" s="4">
        <v>55064</v>
      </c>
      <c r="C42" s="5" t="s">
        <v>99</v>
      </c>
      <c r="D42" s="6">
        <f t="shared" si="0"/>
        <v>45.219999999999992</v>
      </c>
      <c r="E42" s="12">
        <v>53.199999999999996</v>
      </c>
      <c r="F42" s="7">
        <v>89</v>
      </c>
      <c r="G42" s="8">
        <v>89</v>
      </c>
      <c r="H42" s="7" t="s">
        <v>100</v>
      </c>
      <c r="I42" s="12">
        <v>2</v>
      </c>
      <c r="J42" s="17"/>
      <c r="K42" s="17"/>
    </row>
    <row r="43" spans="1:11" x14ac:dyDescent="0.3">
      <c r="A43" s="4" t="s">
        <v>101</v>
      </c>
      <c r="B43" s="4">
        <v>55034</v>
      </c>
      <c r="C43" s="18" t="s">
        <v>102</v>
      </c>
      <c r="D43" s="6">
        <f t="shared" si="0"/>
        <v>34.509999999999991</v>
      </c>
      <c r="E43" s="12">
        <v>40.599999999999994</v>
      </c>
      <c r="F43" s="13">
        <v>63</v>
      </c>
      <c r="G43" s="8">
        <v>63</v>
      </c>
      <c r="H43" s="7" t="s">
        <v>100</v>
      </c>
      <c r="I43" s="6">
        <v>4</v>
      </c>
      <c r="J43" s="9"/>
      <c r="K43" s="9"/>
    </row>
    <row r="44" spans="1:11" x14ac:dyDescent="0.3">
      <c r="A44" s="4" t="s">
        <v>103</v>
      </c>
      <c r="B44" s="4">
        <v>55001</v>
      </c>
      <c r="C44" s="5" t="s">
        <v>104</v>
      </c>
      <c r="D44" s="6">
        <f t="shared" si="0"/>
        <v>34.509999999999991</v>
      </c>
      <c r="E44" s="12">
        <v>40.599999999999994</v>
      </c>
      <c r="F44" s="13">
        <v>65</v>
      </c>
      <c r="G44" s="8">
        <v>65</v>
      </c>
      <c r="H44" s="7" t="s">
        <v>100</v>
      </c>
      <c r="I44" s="6">
        <v>11</v>
      </c>
      <c r="J44" s="9"/>
      <c r="K44" s="9"/>
    </row>
    <row r="45" spans="1:11" x14ac:dyDescent="0.3">
      <c r="A45" s="4" t="s">
        <v>105</v>
      </c>
      <c r="B45" s="4">
        <v>55004</v>
      </c>
      <c r="C45" s="5" t="s">
        <v>106</v>
      </c>
      <c r="D45" s="6">
        <f t="shared" si="0"/>
        <v>40.459999999999994</v>
      </c>
      <c r="E45" s="12">
        <v>47.599999999999994</v>
      </c>
      <c r="F45" s="13">
        <v>82</v>
      </c>
      <c r="G45" s="8">
        <v>82</v>
      </c>
      <c r="H45" s="7" t="s">
        <v>100</v>
      </c>
      <c r="I45" s="6">
        <v>11</v>
      </c>
      <c r="J45" s="9"/>
      <c r="K4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Martinez</dc:creator>
  <cp:lastModifiedBy>Rodrigo Martinez</cp:lastModifiedBy>
  <dcterms:created xsi:type="dcterms:W3CDTF">2026-03-04T04:43:42Z</dcterms:created>
  <dcterms:modified xsi:type="dcterms:W3CDTF">2026-03-04T04:44:09Z</dcterms:modified>
</cp:coreProperties>
</file>